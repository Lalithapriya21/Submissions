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8_{0253BCD0-56DF-436F-825B-B5C19B22D3E4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30" i="18" l="1"/>
  <c r="D30" i="18"/>
  <c r="E30" i="18"/>
  <c r="F30" i="18"/>
  <c r="B30" i="18"/>
  <c r="D29" i="18"/>
  <c r="E29" i="18"/>
  <c r="F29" i="18"/>
  <c r="C29" i="18"/>
  <c r="B29" i="18"/>
  <c r="C28" i="18"/>
  <c r="D28" i="18"/>
  <c r="E28" i="18"/>
  <c r="F28" i="18"/>
  <c r="B28" i="18"/>
  <c r="B7" i="18" a="1"/>
  <c r="B7" i="18" s="1"/>
  <c r="D7" i="18"/>
  <c r="E7" i="18"/>
  <c r="B8" i="18" a="1"/>
  <c r="D8" i="18" s="1"/>
  <c r="B8" i="18"/>
  <c r="C8" i="18"/>
  <c r="E8" i="18"/>
  <c r="F8" i="18"/>
  <c r="B9" i="18" a="1"/>
  <c r="B9" i="18" s="1"/>
  <c r="D9" i="18"/>
  <c r="E9" i="18"/>
  <c r="B10" i="18" a="1"/>
  <c r="C10" i="18" s="1"/>
  <c r="B10" i="18"/>
  <c r="E10" i="18"/>
  <c r="F10" i="18"/>
  <c r="B11" i="18" a="1"/>
  <c r="B11" i="18" s="1"/>
  <c r="D11" i="18"/>
  <c r="E11" i="18"/>
  <c r="B12" i="18" a="1"/>
  <c r="C12" i="18" s="1"/>
  <c r="B12" i="18"/>
  <c r="E12" i="18"/>
  <c r="F12" i="18"/>
  <c r="B13" i="18" a="1"/>
  <c r="B13" i="18" s="1"/>
  <c r="D13" i="18"/>
  <c r="E13" i="18"/>
  <c r="B14" i="18" a="1"/>
  <c r="C14" i="18" s="1"/>
  <c r="B14" i="18"/>
  <c r="E14" i="18"/>
  <c r="F14" i="18"/>
  <c r="B15" i="18" a="1"/>
  <c r="B15" i="18" s="1"/>
  <c r="D15" i="18"/>
  <c r="E15" i="18"/>
  <c r="B16" i="18" a="1"/>
  <c r="C16" i="18" s="1"/>
  <c r="B16" i="18"/>
  <c r="E16" i="18"/>
  <c r="F16" i="18"/>
  <c r="B17" i="18" a="1"/>
  <c r="B17" i="18" s="1"/>
  <c r="D17" i="18"/>
  <c r="E17" i="18"/>
  <c r="B18" i="18" a="1"/>
  <c r="C18" i="18" s="1"/>
  <c r="B18" i="18"/>
  <c r="E18" i="18"/>
  <c r="F18" i="18"/>
  <c r="B19" i="18" a="1"/>
  <c r="B19" i="18" s="1"/>
  <c r="D19" i="18"/>
  <c r="E19" i="18"/>
  <c r="B20" i="18" a="1"/>
  <c r="C20" i="18" s="1"/>
  <c r="B20" i="18"/>
  <c r="E20" i="18"/>
  <c r="F20" i="18"/>
  <c r="B21" i="18" a="1"/>
  <c r="B21" i="18" s="1"/>
  <c r="D21" i="18"/>
  <c r="E21" i="18"/>
  <c r="B22" i="18" a="1"/>
  <c r="C22" i="18" s="1"/>
  <c r="B22" i="18"/>
  <c r="E22" i="18"/>
  <c r="F22" i="18"/>
  <c r="B23" i="18" a="1"/>
  <c r="B23" i="18" s="1"/>
  <c r="D23" i="18"/>
  <c r="E23" i="18"/>
  <c r="B24" i="18" a="1"/>
  <c r="C24" i="18" s="1"/>
  <c r="B24" i="18"/>
  <c r="E24" i="18"/>
  <c r="F24" i="18"/>
  <c r="B25" i="18" a="1"/>
  <c r="B25" i="18" s="1"/>
  <c r="D25" i="18"/>
  <c r="E25" i="18"/>
  <c r="B26" i="18" a="1"/>
  <c r="C26" i="18" s="1"/>
  <c r="B26" i="18"/>
  <c r="E26" i="18"/>
  <c r="F26" i="18"/>
  <c r="B27" i="18" a="1"/>
  <c r="B27" i="18" s="1"/>
  <c r="B6" i="18" a="1"/>
  <c r="B6" i="18" s="1"/>
  <c r="C6" i="18"/>
  <c r="D6" i="18"/>
  <c r="E6" i="18"/>
  <c r="F6" i="18"/>
  <c r="C21" i="19"/>
  <c r="C19" i="19"/>
  <c r="C15" i="19"/>
  <c r="E27" i="18" l="1"/>
  <c r="D27" i="18"/>
  <c r="C27" i="18"/>
  <c r="C25" i="18"/>
  <c r="C23" i="18"/>
  <c r="C21" i="18"/>
  <c r="C19" i="18"/>
  <c r="C17" i="18"/>
  <c r="C15" i="18"/>
  <c r="C13" i="18"/>
  <c r="C11" i="18"/>
  <c r="C9" i="18"/>
  <c r="C7" i="18"/>
  <c r="F27" i="18"/>
  <c r="D26" i="18"/>
  <c r="F25" i="18"/>
  <c r="D24" i="18"/>
  <c r="F23" i="18"/>
  <c r="D22" i="18"/>
  <c r="F21" i="18"/>
  <c r="D20" i="18"/>
  <c r="F19" i="18"/>
  <c r="D18" i="18"/>
  <c r="F17" i="18"/>
  <c r="D16" i="18"/>
  <c r="F15" i="18"/>
  <c r="D14" i="18"/>
  <c r="F13" i="18"/>
  <c r="D12" i="18"/>
  <c r="F11" i="18"/>
  <c r="D10" i="18"/>
  <c r="F9" i="18"/>
  <c r="F7" i="18"/>
  <c r="H42" i="1"/>
  <c r="C13" i="19"/>
  <c r="C22" i="19" s="1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<sst xmlns="http://schemas.openxmlformats.org/spreadsheetml/2006/main" count="406" uniqueCount="183">
  <si>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</si>
  <si>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</si>
  <si>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</si>
  <si>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</si>
  <si>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</si>
  <si>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</si>
  <si>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</si>
  <si>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</si>
  <si>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</si>
  <si>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</si>
  <si>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</si>
  <si>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</si>
  <si>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</si>
  <si>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</si>
  <si>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</si>
  <si>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</si>
  <si>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</si>
  <si>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</si>
  <si>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</si>
  <si>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</si>
  <si>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</si>
  <si>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</si>
  <si>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</si>
  <si>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</si>
  <si>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</si>
  <si>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</si>
  <si>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</si>
  <si>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</si>
  <si>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</si>
  <si>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</si>
  <si>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</si>
  <si>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</si>
  <si>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</si>
  <si>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</si>
  <si>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</si>
  <si>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</si>
  <si>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</si>
  <si>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</si>
  <si>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</si>
  <si>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</si>
  <si>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</si>
  <si>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</si>
  <si>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</si>
  <si>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</si>
  <si>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</si>
  <si>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</si>
  <si>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</si>
  <si>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</si>
  <si>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</si>
  <si>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</si>
  <si>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</si>
  <si>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</si>
  <si>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</si>
  <si>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</si>
  <si>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</si>
  <si>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</si>
  <si>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</si>
  <si>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</si>
  <si>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</si>
  <si>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</si>
  <si>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</si>
  <si>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</si>
  <si>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</si>
  <si>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</si>
  <si>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</si>
  <si>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</si>
  <si>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</si>
  <si>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</si>
  <si>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</si>
  <si>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</si>
  <si>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</si>
  <si>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</si>
  <si>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</si>
  <si>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</si>
  <si>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</si>
  <si>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</si>
  <si>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</si>
  <si>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</si>
  <si>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</si>
  <si>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</si>
  <si>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</si>
  <si>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</si>
  <si>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</si>
  <si>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</si>
  <si>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</si>
  <si>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</si>
  <si>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</si>
  <si>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</si>
  <si>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</si>
  <si>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</si>
  <si>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</si>
  <si>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</si>
  <si>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</si>
  <si>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</si>
  <si>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</si>
  <si>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</si>
  <si>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</si>
  <si>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</si>
  <si>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</si>
  <si>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</si>
  <si>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</si>
  <si>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</si>
  <si>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</si>
  <si>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</si>
  <si>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</si>
  <si>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</si>
  <si>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</si>
  <si>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</si>
  <si>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</si>
  <si>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</si>
  <si>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</si>
  <si>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</si>
  <si>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</si>
  <si>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</si>
  <si>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</si>
  <si>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</si>
  <si>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</si>
  <si>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</si>
  <si>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</si>
  <si>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</si>
  <si>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</si>
  <si>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</si>
  <si>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</si>
  <si>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</si>
  <si>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</si>
  <si>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</si>
  <si>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</si>
  <si>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</si>
  <si>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</si>
  <si>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</si>
  <si>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</si>
  <si>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</si>
  <si>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</si>
  <si>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</si>
  <si>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</si>
  <si>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</si>
  <si>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</si>
  <si>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</si>
  <si>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</si>
  <si>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</si>
  <si>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</si>
  <si>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</si>
  <si>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</si>
  <si>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</si>
  <si>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</si>
  <si>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</si>
  <si>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</si>
  <si>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</si>
  <si>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</si>
  <si>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</si>
  <si>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</si>
  <si>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</si>
  <si>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</si>
  <si>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</si>
  <si>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</si>
  <si>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</si>
  <si>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</si>
  <si>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</si>
  <si>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</si>
  <si>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</si>
  <si>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</si>
  <si>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</si>
  <si>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</si>
  <si>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</si>
  <si>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</si>
  <si>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</si>
  <si>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</si>
  <si>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</si>
  <si>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</si>
  <si>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</si>
  <si>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</si>
  <si>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</si>
  <si>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</si>
  <si>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</si>
  <si>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</si>
  <si>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</si>
  <si>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</si>
  <si>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To split the values here I use the "Text to Columns"feature in Excel.first I select all columns which I want to split into columns,then Go to"Data" tab in the Excel ribbon.</t>
  </si>
  <si>
    <t>then I click on "Text to columns".and I choose "delimited" and click "Next"</t>
  </si>
  <si>
    <t xml:space="preserve">for sum of sales I use sum funtion </t>
  </si>
  <si>
    <t>sum funtion .first select the empty cell and write =sum(select sales range) click enter.for substitute the 20 value I used iferror function.</t>
  </si>
  <si>
    <t>SUMIF(H2:H40,"&gt;20",H2:H40)</t>
  </si>
  <si>
    <t>INDEX($B$10:$J$18,MATCH(VLOOKUP(A23,$M$10:$N$18,2,0),$A$10:$A$18,0),MATCH(VLOOKUP(B23,$M$10:$N$18,2,0),$B$9:$J$9,0))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</si>
</sst>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3" fillId="0" borderId="18" xfId="0" applyFont="1" applyBorder="1"/>
    <xf numFmtId="0" fontId="3" fillId="0" borderId="19" xfId="0" applyFont="1" applyBorder="1"/>
    <xf numFmtId="0" fontId="8" fillId="0" borderId="20" xfId="0" applyFont="1" applyBorder="1"/>
    <xf numFmtId="0" fontId="8" fillId="0" borderId="21" xfId="0" applyFont="1" applyBorder="1"/>
    <xf numFmtId="0" fontId="8" fillId="0" borderId="22" xfId="0" applyFont="1" applyBorder="1"/>
    <xf numFmtId="0" fontId="3" fillId="0" borderId="11" xfId="0" applyFont="1" applyBorder="1"/>
    <xf numFmtId="0" fontId="3" fillId="0" borderId="0" xfId="0" applyFont="1" applyAlignment="1">
      <alignment horizontal="left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3" t="s">
        <v>171</v>
      </c>
      <c r="B9" s="24" t="s">
        <v>169</v>
      </c>
    </row>
    <row r="10" spans="1:3" x14ac:dyDescent="0.3">
      <c r="A10" s="32" t="s">
        <v>172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abSelected="1" topLeftCell="J1" zoomScaleNormal="100" workbookViewId="0">
      <pane ySplit="1" topLeftCell="A3" activePane="bottomLeft" state="frozen"/>
      <selection activeCell="K1" sqref="K1"/>
      <selection pane="bottomLeft" activeCell="H43" sqref="H43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1093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1093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44140625" style="42" bestFit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1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  <row r="42" spans="1:24" x14ac:dyDescent="0.3">
      <c r="H42" s="1">
        <f>SUMIF(H2:H40,"&gt;20",H2:H40)</f>
        <v>1473.0000000000002</v>
      </c>
    </row>
  </sheetData>
  <autoFilter ref="A1:X40" xr:uid="{00000000-0001-0000-0000-000000000000}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9" sqref="C9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4414062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1" t="s">
        <v>181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8" zoomScaleNormal="100" workbookViewId="0">
      <selection activeCell="I29" sqref="I29"/>
    </sheetView>
  </sheetViews>
  <sheetFormatPr defaultColWidth="11" defaultRowHeight="13.8" x14ac:dyDescent="0.3"/>
  <cols>
    <col min="1" max="1" width="18.4414062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8" customFormat="1" ht="21" x14ac:dyDescent="0.4">
      <c r="A1" s="39" t="s">
        <v>55</v>
      </c>
      <c r="B1" s="38" t="s">
        <v>164</v>
      </c>
    </row>
    <row r="2" spans="1:7" s="38" customFormat="1" ht="21" x14ac:dyDescent="0.4">
      <c r="B2" s="38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162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1">
        <f t="array" ref="B6:F6">VLOOKUP(A6,Dataset!A1:W40,{7,14,18,20,22},0)</f>
        <v>2.7</v>
      </c>
      <c r="C6" s="11">
        <v>7.6</v>
      </c>
      <c r="D6" s="11">
        <v>4.2</v>
      </c>
      <c r="E6" s="11">
        <v>8.9</v>
      </c>
      <c r="F6" s="11">
        <v>4.2</v>
      </c>
    </row>
    <row r="7" spans="1:7" ht="14.4" x14ac:dyDescent="0.3">
      <c r="A7" s="7" t="s">
        <v>4</v>
      </c>
      <c r="B7" s="11">
        <f t="array" ref="B7:F7">VLOOKUP(A7,Dataset!A2:W41,{7,14,18,20,22},0)</f>
        <v>2.7</v>
      </c>
      <c r="C7" s="11">
        <v>7.6</v>
      </c>
      <c r="D7" s="11">
        <v>4.2</v>
      </c>
      <c r="E7" s="11">
        <v>8.9</v>
      </c>
      <c r="F7" s="11">
        <v>4.2</v>
      </c>
    </row>
    <row r="8" spans="1:7" ht="14.4" x14ac:dyDescent="0.3">
      <c r="A8" s="7" t="s">
        <v>7</v>
      </c>
      <c r="B8" s="11">
        <f t="array" ref="B8:F8">VLOOKUP(A8,Dataset!A3:W42,{7,14,18,20,22},0)</f>
        <v>3.6</v>
      </c>
      <c r="C8" s="11">
        <v>11.1</v>
      </c>
      <c r="D8" s="11">
        <v>5.8</v>
      </c>
      <c r="E8" s="11">
        <v>12.2</v>
      </c>
      <c r="F8" s="11">
        <v>5.8</v>
      </c>
    </row>
    <row r="9" spans="1:7" ht="14.4" x14ac:dyDescent="0.3">
      <c r="A9" s="7" t="s">
        <v>8</v>
      </c>
      <c r="B9" s="11">
        <f t="array" ref="B9:F9">VLOOKUP(A9,Dataset!A4:W43,{7,14,18,20,22},0)</f>
        <v>4.9000000000000004</v>
      </c>
      <c r="C9" s="11">
        <v>13.3</v>
      </c>
      <c r="D9" s="11">
        <v>8.1</v>
      </c>
      <c r="E9" s="11">
        <v>17</v>
      </c>
      <c r="F9" s="11">
        <v>8.1</v>
      </c>
    </row>
    <row r="10" spans="1:7" ht="14.4" x14ac:dyDescent="0.3">
      <c r="A10" s="7" t="s">
        <v>11</v>
      </c>
      <c r="B10" s="11">
        <f t="array" ref="B10:F10">VLOOKUP(A10,Dataset!A5:W44,{7,14,18,20,22},0)</f>
        <v>9.4</v>
      </c>
      <c r="C10" s="11">
        <v>28.3</v>
      </c>
      <c r="D10" s="11">
        <v>16.100000000000001</v>
      </c>
      <c r="E10" s="11">
        <v>32.799999999999997</v>
      </c>
      <c r="F10" s="11">
        <v>16.100000000000001</v>
      </c>
    </row>
    <row r="11" spans="1:7" ht="14.4" x14ac:dyDescent="0.3">
      <c r="A11" s="7" t="s">
        <v>12</v>
      </c>
      <c r="B11" s="11">
        <f t="array" ref="B11:F11">VLOOKUP(A11,Dataset!A6:W45,{7,14,18,20,22},0)</f>
        <v>11.6</v>
      </c>
      <c r="C11" s="11">
        <v>35.200000000000003</v>
      </c>
      <c r="D11" s="11">
        <v>21.3</v>
      </c>
      <c r="E11" s="11">
        <v>43</v>
      </c>
      <c r="F11" s="11">
        <v>21.3</v>
      </c>
    </row>
    <row r="12" spans="1:7" ht="14.4" x14ac:dyDescent="0.3">
      <c r="A12" s="7" t="s">
        <v>14</v>
      </c>
      <c r="B12" s="11">
        <f t="array" ref="B12:F12">VLOOKUP(A12,Dataset!A7:W46,{7,14,18,20,22},0)</f>
        <v>18.399999999999999</v>
      </c>
      <c r="C12" s="11">
        <v>55.6</v>
      </c>
      <c r="D12" s="11">
        <v>33.799999999999997</v>
      </c>
      <c r="E12" s="11">
        <v>67.900000000000006</v>
      </c>
      <c r="F12" s="11">
        <v>33.799999999999997</v>
      </c>
    </row>
    <row r="13" spans="1:7" ht="14.4" x14ac:dyDescent="0.3">
      <c r="A13" s="7" t="s">
        <v>15</v>
      </c>
      <c r="B13" s="11">
        <f t="array" ref="B13:F13">VLOOKUP(A13,Dataset!A8:W47,{7,14,18,20,22},0)</f>
        <v>0</v>
      </c>
      <c r="C13" s="11">
        <v>0</v>
      </c>
      <c r="D13" s="11">
        <v>0</v>
      </c>
      <c r="E13" s="11">
        <v>0</v>
      </c>
      <c r="F13" s="11">
        <v>0</v>
      </c>
    </row>
    <row r="14" spans="1:7" ht="14.4" x14ac:dyDescent="0.3">
      <c r="A14" s="7" t="s">
        <v>16</v>
      </c>
      <c r="B14" s="11">
        <f t="array" ref="B14:F14">VLOOKUP(A14,Dataset!A9:W48,{7,14,18,20,22},0)</f>
        <v>21.9</v>
      </c>
      <c r="C14" s="11">
        <v>61.5</v>
      </c>
      <c r="D14" s="11">
        <v>40.1</v>
      </c>
      <c r="E14" s="11">
        <v>76.599999999999994</v>
      </c>
      <c r="F14" s="11">
        <v>40.1</v>
      </c>
    </row>
    <row r="15" spans="1:7" ht="14.4" x14ac:dyDescent="0.3">
      <c r="A15" s="7" t="s">
        <v>18</v>
      </c>
      <c r="B15" s="11">
        <f t="array" ref="B15:F15">VLOOKUP(A15,Dataset!A10:W49,{7,14,18,20,22},0)</f>
        <v>26.8</v>
      </c>
      <c r="C15" s="11">
        <v>79.599999999999994</v>
      </c>
      <c r="D15" s="11">
        <v>47.9</v>
      </c>
      <c r="E15" s="11">
        <v>96.8</v>
      </c>
      <c r="F15" s="11">
        <v>47.9</v>
      </c>
    </row>
    <row r="16" spans="1:7" ht="14.4" x14ac:dyDescent="0.3">
      <c r="A16" s="7" t="s">
        <v>20</v>
      </c>
      <c r="B16" s="11">
        <f t="array" ref="B16:F16">VLOOKUP(A16,Dataset!A11:W50,{7,14,18,20,22},0)</f>
        <v>28.5</v>
      </c>
      <c r="C16" s="11">
        <v>85.4</v>
      </c>
      <c r="D16" s="11">
        <v>52.3</v>
      </c>
      <c r="E16" s="11">
        <v>106.1</v>
      </c>
      <c r="F16" s="11">
        <v>52.3</v>
      </c>
    </row>
    <row r="17" spans="1:6" ht="14.4" x14ac:dyDescent="0.3">
      <c r="A17" s="7" t="s">
        <v>22</v>
      </c>
      <c r="B17" s="11">
        <f t="array" ref="B17:F17">VLOOKUP(A17,Dataset!A12:W51,{7,14,18,20,22},0)</f>
        <v>30.7</v>
      </c>
      <c r="C17" s="11">
        <v>92.1</v>
      </c>
      <c r="D17" s="11">
        <v>57</v>
      </c>
      <c r="E17" s="11">
        <v>115.1</v>
      </c>
      <c r="F17" s="11">
        <v>57</v>
      </c>
    </row>
    <row r="18" spans="1:6" ht="14.4" x14ac:dyDescent="0.3">
      <c r="A18" s="7" t="s">
        <v>23</v>
      </c>
      <c r="B18" s="11">
        <f t="array" ref="B18:F18">VLOOKUP(A18,Dataset!A13:W52,{7,14,18,20,22},0)</f>
        <v>33.799999999999997</v>
      </c>
      <c r="C18" s="11">
        <v>101.3</v>
      </c>
      <c r="D18" s="11">
        <v>61.4</v>
      </c>
      <c r="E18" s="11">
        <v>124.4</v>
      </c>
      <c r="F18" s="11">
        <v>61.4</v>
      </c>
    </row>
    <row r="19" spans="1:6" ht="14.4" x14ac:dyDescent="0.3">
      <c r="A19" s="7" t="s">
        <v>24</v>
      </c>
      <c r="B19" s="11">
        <f t="array" ref="B19:F19">VLOOKUP(A19,Dataset!A14:W53,{7,14,18,20,22},0)</f>
        <v>34.700000000000003</v>
      </c>
      <c r="C19" s="11">
        <v>106.1</v>
      </c>
      <c r="D19" s="11">
        <v>63.6</v>
      </c>
      <c r="E19" s="11">
        <v>128.6</v>
      </c>
      <c r="F19" s="11">
        <v>63.6</v>
      </c>
    </row>
    <row r="20" spans="1:6" ht="14.4" x14ac:dyDescent="0.3">
      <c r="A20" s="7" t="s">
        <v>28</v>
      </c>
      <c r="B20" s="11">
        <f t="array" ref="B20:F20">VLOOKUP(A20,Dataset!A15:W54,{7,14,18,20,22},0)</f>
        <v>0</v>
      </c>
      <c r="C20" s="11">
        <v>0</v>
      </c>
      <c r="D20" s="11">
        <v>0</v>
      </c>
      <c r="E20" s="11">
        <v>0</v>
      </c>
      <c r="F20" s="11">
        <v>0</v>
      </c>
    </row>
    <row r="21" spans="1:6" ht="14.4" x14ac:dyDescent="0.3">
      <c r="A21" s="7" t="s">
        <v>57</v>
      </c>
      <c r="B21" s="11">
        <f t="array" ref="B21:F21">VLOOKUP(A21,Dataset!A16:W55,{7,14,18,20,22},0)</f>
        <v>41.3</v>
      </c>
      <c r="C21" s="11">
        <v>124.4</v>
      </c>
      <c r="D21" s="11">
        <v>75</v>
      </c>
      <c r="E21" s="11">
        <v>151.5</v>
      </c>
      <c r="F21" s="11">
        <v>75</v>
      </c>
    </row>
    <row r="22" spans="1:6" ht="14.4" x14ac:dyDescent="0.3">
      <c r="A22" s="7" t="s">
        <v>58</v>
      </c>
      <c r="B22" s="11">
        <f t="array" ref="B22:F22">VLOOKUP(A22,Dataset!A17:W56,{7,14,18,20,22},0)</f>
        <v>-1</v>
      </c>
      <c r="C22" s="11">
        <v>-1</v>
      </c>
      <c r="D22" s="11">
        <v>-1</v>
      </c>
      <c r="E22" s="11">
        <v>-1</v>
      </c>
      <c r="F22" s="11">
        <v>-1</v>
      </c>
    </row>
    <row r="23" spans="1:6" ht="14.4" x14ac:dyDescent="0.3">
      <c r="A23" s="7" t="s">
        <v>31</v>
      </c>
      <c r="B23" s="11">
        <f t="array" ref="B23:F23">VLOOKUP(A23,Dataset!A18:W57,{7,14,18,20,22},0)</f>
        <v>45</v>
      </c>
      <c r="C23" s="11">
        <v>133.4</v>
      </c>
      <c r="D23" s="11">
        <v>79.400000000000006</v>
      </c>
      <c r="E23" s="11">
        <v>160.9</v>
      </c>
      <c r="F23" s="11">
        <v>79.400000000000006</v>
      </c>
    </row>
    <row r="24" spans="1:6" ht="14.4" x14ac:dyDescent="0.3">
      <c r="A24" s="7" t="s">
        <v>32</v>
      </c>
      <c r="B24" s="11">
        <f t="array" ref="B24:F24">VLOOKUP(A24,Dataset!A19:W58,{7,14,18,20,22},0)</f>
        <v>-1</v>
      </c>
      <c r="C24" s="11">
        <v>-1</v>
      </c>
      <c r="D24" s="11">
        <v>-1</v>
      </c>
      <c r="E24" s="11">
        <v>-1</v>
      </c>
      <c r="F24" s="11">
        <v>-1</v>
      </c>
    </row>
    <row r="25" spans="1:6" ht="14.4" x14ac:dyDescent="0.3">
      <c r="A25" s="7" t="s">
        <v>34</v>
      </c>
      <c r="B25" s="11">
        <f t="array" ref="B25:F25">VLOOKUP(A25,Dataset!A20:W59,{7,14,18,20,22},0)</f>
        <v>43.3</v>
      </c>
      <c r="C25" s="11">
        <v>128.6</v>
      </c>
      <c r="D25" s="11">
        <v>79.400000000000006</v>
      </c>
      <c r="E25" s="11">
        <v>160.9</v>
      </c>
      <c r="F25" s="11">
        <v>79.400000000000006</v>
      </c>
    </row>
    <row r="26" spans="1:6" ht="14.4" x14ac:dyDescent="0.3">
      <c r="A26" s="7" t="s">
        <v>37</v>
      </c>
      <c r="B26" s="11">
        <f t="array" ref="B26:F26">VLOOKUP(A26,Dataset!A21:W60,{7,14,18,20,22},0)</f>
        <v>49.1</v>
      </c>
      <c r="C26" s="11">
        <v>146.80000000000001</v>
      </c>
      <c r="D26" s="11">
        <v>90.9</v>
      </c>
      <c r="E26" s="11">
        <v>183.5</v>
      </c>
      <c r="F26" s="11">
        <v>90.9</v>
      </c>
    </row>
    <row r="27" spans="1:6" ht="15" thickBot="1" x14ac:dyDescent="0.35">
      <c r="A27" s="7" t="s">
        <v>39</v>
      </c>
      <c r="B27" s="11">
        <f t="array" ref="B27:F27">VLOOKUP(A27,Dataset!A22:W61,{7,14,18,20,22},0)</f>
        <v>51.8</v>
      </c>
      <c r="C27" s="11">
        <v>156.4</v>
      </c>
      <c r="D27" s="11">
        <v>93.1</v>
      </c>
      <c r="E27" s="11">
        <v>188.1</v>
      </c>
      <c r="F27" s="11">
        <v>93.1</v>
      </c>
    </row>
    <row r="28" spans="1:6" ht="14.4" x14ac:dyDescent="0.3">
      <c r="A28" s="18" t="s">
        <v>82</v>
      </c>
      <c r="B28" s="43">
        <f>MIN(B6:B27)</f>
        <v>-1</v>
      </c>
      <c r="C28" s="44">
        <f t="shared" ref="C28:F28" si="0">MIN(C6:C27)</f>
        <v>-1</v>
      </c>
      <c r="D28" s="44">
        <f t="shared" si="0"/>
        <v>-1</v>
      </c>
      <c r="E28" s="44">
        <f t="shared" si="0"/>
        <v>-1</v>
      </c>
      <c r="F28" s="45">
        <f t="shared" si="0"/>
        <v>-1</v>
      </c>
    </row>
    <row r="29" spans="1:6" ht="14.4" x14ac:dyDescent="0.3">
      <c r="A29" s="18" t="s">
        <v>83</v>
      </c>
      <c r="B29" s="46">
        <f>MAX(B6:B27)</f>
        <v>51.8</v>
      </c>
      <c r="C29" s="15">
        <f>MAX(C6:C27)</f>
        <v>156.4</v>
      </c>
      <c r="D29" s="15">
        <f t="shared" ref="D29:F29" si="1">MAX(D6:D27)</f>
        <v>93.1</v>
      </c>
      <c r="E29" s="15">
        <f t="shared" si="1"/>
        <v>188.1</v>
      </c>
      <c r="F29" s="47">
        <f t="shared" si="1"/>
        <v>93.1</v>
      </c>
    </row>
    <row r="30" spans="1:6" ht="15" thickBot="1" x14ac:dyDescent="0.35">
      <c r="A30" s="18" t="s">
        <v>84</v>
      </c>
      <c r="B30" s="48">
        <f>AVERAGE(B6:B27)</f>
        <v>20.827272727272728</v>
      </c>
      <c r="C30" s="49">
        <f t="shared" ref="C30:F30" si="2">AVERAGE(C6:C27)</f>
        <v>62.377272727272725</v>
      </c>
      <c r="D30" s="49">
        <f t="shared" si="2"/>
        <v>37.800000000000004</v>
      </c>
      <c r="E30" s="49">
        <f t="shared" si="2"/>
        <v>76.418181818181822</v>
      </c>
      <c r="F30" s="5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0" zoomScaleNormal="100" workbookViewId="0">
      <selection activeCell="G14" sqref="G1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8" customFormat="1" ht="21" x14ac:dyDescent="0.4">
      <c r="A1" s="39" t="s">
        <v>56</v>
      </c>
      <c r="B1" s="38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0" t="s">
        <v>53</v>
      </c>
      <c r="B5" s="37" t="s">
        <v>177</v>
      </c>
    </row>
    <row r="6" spans="1:10" ht="18" x14ac:dyDescent="0.35">
      <c r="A6" s="40" t="s">
        <v>153</v>
      </c>
      <c r="B6" s="37" t="s">
        <v>178</v>
      </c>
    </row>
    <row r="7" spans="1:10" ht="18" x14ac:dyDescent="0.35">
      <c r="A7" s="40"/>
      <c r="B7" s="37"/>
    </row>
    <row r="9" spans="1:10" ht="23.4" x14ac:dyDescent="0.45">
      <c r="A9" s="16" t="s">
        <v>165</v>
      </c>
      <c r="I9" s="2"/>
      <c r="J9" s="2"/>
    </row>
    <row r="10" spans="1:10" x14ac:dyDescent="0.3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6" t="s">
        <v>162</v>
      </c>
    </row>
    <row r="15" spans="1:10" x14ac:dyDescent="0.3">
      <c r="A15" s="13" t="s">
        <v>103</v>
      </c>
      <c r="B15" s="15" t="s">
        <v>49</v>
      </c>
      <c r="C15" s="14" t="s">
        <v>50</v>
      </c>
      <c r="D15" s="15" t="s">
        <v>51</v>
      </c>
      <c r="E15" s="14" t="s">
        <v>52</v>
      </c>
      <c r="F15" s="15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4" zoomScaleNormal="100" workbookViewId="0">
      <selection activeCell="C6" sqref="C6"/>
    </sheetView>
  </sheetViews>
  <sheetFormatPr defaultColWidth="11" defaultRowHeight="13.8" x14ac:dyDescent="0.3"/>
  <cols>
    <col min="1" max="1" width="28.109375" style="2" bestFit="1" customWidth="1"/>
    <col min="2" max="2" width="17.77734375" style="2" bestFit="1" customWidth="1"/>
    <col min="3" max="3" width="11" style="2" bestFit="1" customWidth="1"/>
    <col min="4" max="4" width="13.109375" style="2" bestFit="1" customWidth="1"/>
    <col min="5" max="5" width="10.77734375" style="2" bestFit="1" customWidth="1"/>
    <col min="6" max="6" width="13.44140625" style="2" bestFit="1" customWidth="1"/>
    <col min="7" max="8" width="14.4414062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7" width="12.44140625" style="2" bestFit="1" customWidth="1"/>
    <col min="18" max="18" width="24.109375" style="2" bestFit="1" customWidth="1"/>
    <col min="19" max="19" width="12.4414062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9" t="s">
        <v>85</v>
      </c>
      <c r="B1" s="38" t="s">
        <v>167</v>
      </c>
    </row>
    <row r="2" spans="1:3" ht="18" x14ac:dyDescent="0.35">
      <c r="B2" s="37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179</v>
      </c>
      <c r="C6" s="2" t="s">
        <v>180</v>
      </c>
    </row>
    <row r="7" spans="1:3" ht="14.4" x14ac:dyDescent="0.3">
      <c r="A7" s="3" t="s">
        <v>153</v>
      </c>
      <c r="B7" s="1"/>
    </row>
    <row r="10" spans="1:3" ht="23.4" x14ac:dyDescent="0.45">
      <c r="A10" s="16" t="s">
        <v>162</v>
      </c>
    </row>
    <row r="11" spans="1:3" ht="14.4" x14ac:dyDescent="0.3">
      <c r="A11" s="29" t="s">
        <v>86</v>
      </c>
      <c r="B11" s="15" t="s">
        <v>87</v>
      </c>
      <c r="C11" s="15" t="s">
        <v>88</v>
      </c>
    </row>
    <row r="12" spans="1:3" ht="14.4" x14ac:dyDescent="0.3">
      <c r="A12" s="29">
        <v>44927</v>
      </c>
      <c r="B12" s="15" t="s">
        <v>59</v>
      </c>
      <c r="C12" s="15">
        <v>200</v>
      </c>
    </row>
    <row r="13" spans="1:3" ht="14.4" x14ac:dyDescent="0.3">
      <c r="A13" s="29">
        <v>44928</v>
      </c>
      <c r="B13" s="15" t="s">
        <v>60</v>
      </c>
      <c r="C13" s="15">
        <f>IFERROR($C$15, 20)</f>
        <v>20</v>
      </c>
    </row>
    <row r="14" spans="1:3" ht="14.4" x14ac:dyDescent="0.3">
      <c r="A14" s="29">
        <v>44929</v>
      </c>
      <c r="B14" s="15" t="s">
        <v>61</v>
      </c>
      <c r="C14" s="15">
        <v>50</v>
      </c>
    </row>
    <row r="15" spans="1:3" ht="14.4" x14ac:dyDescent="0.3">
      <c r="A15" s="29">
        <v>44930</v>
      </c>
      <c r="B15" s="15" t="s">
        <v>62</v>
      </c>
      <c r="C15" s="15">
        <f>IFERROR(#N/A, 20)</f>
        <v>20</v>
      </c>
    </row>
    <row r="16" spans="1:3" ht="14.4" x14ac:dyDescent="0.3">
      <c r="A16" s="29">
        <v>44931</v>
      </c>
      <c r="B16" s="15" t="s">
        <v>63</v>
      </c>
      <c r="C16" s="15">
        <v>10</v>
      </c>
    </row>
    <row r="17" spans="1:3" ht="14.4" x14ac:dyDescent="0.3">
      <c r="A17" s="29">
        <v>44932</v>
      </c>
      <c r="B17" s="15" t="s">
        <v>154</v>
      </c>
      <c r="C17" s="15">
        <v>150</v>
      </c>
    </row>
    <row r="18" spans="1:3" ht="14.4" x14ac:dyDescent="0.3">
      <c r="A18" s="29">
        <v>44933</v>
      </c>
      <c r="B18" s="15" t="s">
        <v>155</v>
      </c>
      <c r="C18" s="15">
        <v>80</v>
      </c>
    </row>
    <row r="19" spans="1:3" ht="14.4" x14ac:dyDescent="0.3">
      <c r="A19" s="29">
        <v>44934</v>
      </c>
      <c r="B19" s="15" t="s">
        <v>156</v>
      </c>
      <c r="C19" s="15">
        <f>IFERROR(#N/A, 20)</f>
        <v>20</v>
      </c>
    </row>
    <row r="20" spans="1:3" ht="14.4" x14ac:dyDescent="0.3">
      <c r="A20" s="29">
        <v>44935</v>
      </c>
      <c r="B20" s="15" t="s">
        <v>157</v>
      </c>
      <c r="C20" s="15">
        <v>30</v>
      </c>
    </row>
    <row r="21" spans="1:3" ht="14.4" x14ac:dyDescent="0.3">
      <c r="A21" s="29">
        <v>44936</v>
      </c>
      <c r="B21" s="15" t="s">
        <v>158</v>
      </c>
      <c r="C21" s="15">
        <f>IFERROR(#N/A,  20)</f>
        <v>20</v>
      </c>
    </row>
    <row r="22" spans="1:3" ht="14.4" x14ac:dyDescent="0.3">
      <c r="B22" s="15" t="s">
        <v>159</v>
      </c>
      <c r="C22" s="23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opLeftCell="A20" zoomScaleNormal="100" workbookViewId="0">
      <selection activeCell="I21" sqref="I21"/>
    </sheetView>
  </sheetViews>
  <sheetFormatPr defaultColWidth="11" defaultRowHeight="13.8" x14ac:dyDescent="0.3"/>
  <cols>
    <col min="1" max="1" width="28.109375" style="2" bestFit="1" customWidth="1"/>
    <col min="2" max="16384" width="11" style="2"/>
  </cols>
  <sheetData>
    <row r="1" spans="1:15" ht="21" x14ac:dyDescent="0.4">
      <c r="A1" s="39" t="s">
        <v>98</v>
      </c>
      <c r="B1" s="38" t="s">
        <v>175</v>
      </c>
    </row>
    <row r="3" spans="1:15" ht="14.4" x14ac:dyDescent="0.3">
      <c r="B3" s="1" t="s">
        <v>151</v>
      </c>
    </row>
    <row r="4" spans="1:15" ht="18" x14ac:dyDescent="0.35">
      <c r="A4" s="40" t="s">
        <v>53</v>
      </c>
      <c r="B4" s="1"/>
      <c r="C4" s="55" t="s">
        <v>182</v>
      </c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</row>
    <row r="5" spans="1:15" ht="18" x14ac:dyDescent="0.35">
      <c r="A5" s="40" t="s">
        <v>153</v>
      </c>
      <c r="B5" s="1"/>
    </row>
    <row r="6" spans="1:15" ht="14.4" x14ac:dyDescent="0.3">
      <c r="A6" s="3"/>
      <c r="B6" s="1"/>
    </row>
    <row r="8" spans="1:15" ht="23.4" x14ac:dyDescent="0.45">
      <c r="A8" s="16" t="s">
        <v>162</v>
      </c>
      <c r="M8" s="16" t="s">
        <v>163</v>
      </c>
    </row>
    <row r="9" spans="1:15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5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1">
        <v>10100</v>
      </c>
      <c r="N10" s="11" t="s">
        <v>89</v>
      </c>
    </row>
    <row r="11" spans="1:15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1">
        <v>10102</v>
      </c>
      <c r="N11" s="11" t="s">
        <v>90</v>
      </c>
    </row>
    <row r="12" spans="1:15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1">
        <v>10104</v>
      </c>
      <c r="N12" s="11" t="s">
        <v>91</v>
      </c>
    </row>
    <row r="13" spans="1:15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1">
        <v>10106</v>
      </c>
      <c r="N13" s="11" t="s">
        <v>92</v>
      </c>
    </row>
    <row r="14" spans="1:15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1">
        <v>10108</v>
      </c>
      <c r="N14" s="11" t="s">
        <v>93</v>
      </c>
    </row>
    <row r="15" spans="1:15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1">
        <v>10110</v>
      </c>
      <c r="N15" s="11" t="s">
        <v>94</v>
      </c>
    </row>
    <row r="16" spans="1:15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1">
        <v>10112</v>
      </c>
      <c r="N16" s="11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1">
        <v>10114</v>
      </c>
      <c r="N17" s="11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2">
        <v>10116</v>
      </c>
      <c r="N18" s="12" t="s">
        <v>97</v>
      </c>
    </row>
    <row r="21" spans="1:14" ht="24" thickBot="1" x14ac:dyDescent="0.5">
      <c r="A21" s="16" t="s">
        <v>168</v>
      </c>
    </row>
    <row r="22" spans="1:14" ht="15" thickBot="1" x14ac:dyDescent="0.35">
      <c r="A22" s="13" t="s">
        <v>100</v>
      </c>
      <c r="B22" s="13" t="s">
        <v>101</v>
      </c>
      <c r="C22" s="54" t="s">
        <v>102</v>
      </c>
      <c r="K22" s="13"/>
    </row>
    <row r="23" spans="1:14" ht="14.4" x14ac:dyDescent="0.3">
      <c r="A23" s="7">
        <v>10100</v>
      </c>
      <c r="B23" s="7">
        <v>10102</v>
      </c>
      <c r="C23" s="51">
        <f>INDEX($B$10:$J$18,MATCH(VLOOKUP(A23,$M$10:$N$18,2,0),$A$10:$A$18,0),MATCH(VLOOKUP(B23,$M$10:$N$18,2,0),$B$9:$J$9,0))</f>
        <v>95</v>
      </c>
    </row>
    <row r="24" spans="1:14" ht="14.4" x14ac:dyDescent="0.3">
      <c r="A24" s="7">
        <v>10100</v>
      </c>
      <c r="B24" s="7">
        <v>10104</v>
      </c>
      <c r="C24" s="52">
        <f t="shared" ref="C24:C35" si="0">INDEX($B$10:$J$18,MATCH(VLOOKUP(A24,$M$10:$N$18,2,0),$A$10:$A$18,0),MATCH(VLOOKUP(B24,$M$10:$N$18,2,0),$B$9:$J$9,0))</f>
        <v>-1</v>
      </c>
    </row>
    <row r="25" spans="1:14" ht="14.4" x14ac:dyDescent="0.3">
      <c r="A25" s="7">
        <v>10108</v>
      </c>
      <c r="B25" s="7">
        <v>10102</v>
      </c>
      <c r="C25" s="52">
        <f t="shared" si="0"/>
        <v>160</v>
      </c>
    </row>
    <row r="26" spans="1:14" ht="14.4" x14ac:dyDescent="0.3">
      <c r="A26" s="7">
        <v>10100</v>
      </c>
      <c r="B26" s="7">
        <v>10106</v>
      </c>
      <c r="C26" s="52">
        <f t="shared" si="0"/>
        <v>185</v>
      </c>
    </row>
    <row r="27" spans="1:14" ht="14.4" x14ac:dyDescent="0.3">
      <c r="A27" s="7">
        <v>10108</v>
      </c>
      <c r="B27" s="7">
        <v>10110</v>
      </c>
      <c r="C27" s="52">
        <f t="shared" si="0"/>
        <v>50</v>
      </c>
    </row>
    <row r="28" spans="1:14" ht="14.4" x14ac:dyDescent="0.3">
      <c r="A28" s="7">
        <v>10102</v>
      </c>
      <c r="B28" s="7">
        <v>10104</v>
      </c>
      <c r="C28" s="52">
        <f t="shared" si="0"/>
        <v>-1</v>
      </c>
    </row>
    <row r="29" spans="1:14" ht="14.4" x14ac:dyDescent="0.3">
      <c r="A29" s="7">
        <v>10106</v>
      </c>
      <c r="B29" s="7">
        <v>10108</v>
      </c>
      <c r="C29" s="52">
        <f t="shared" si="0"/>
        <v>70</v>
      </c>
    </row>
    <row r="30" spans="1:14" ht="14.4" x14ac:dyDescent="0.3">
      <c r="A30" s="7">
        <v>10102</v>
      </c>
      <c r="B30" s="7">
        <v>10106</v>
      </c>
      <c r="C30" s="52">
        <f t="shared" si="0"/>
        <v>90</v>
      </c>
    </row>
    <row r="31" spans="1:14" ht="14.4" x14ac:dyDescent="0.3">
      <c r="A31" s="7">
        <v>10110</v>
      </c>
      <c r="B31" s="7">
        <v>10114</v>
      </c>
      <c r="C31" s="52">
        <f t="shared" si="0"/>
        <v>180</v>
      </c>
    </row>
    <row r="32" spans="1:14" ht="14.4" x14ac:dyDescent="0.3">
      <c r="A32" s="7">
        <v>10104</v>
      </c>
      <c r="B32" s="7">
        <v>10106</v>
      </c>
      <c r="C32" s="52">
        <f t="shared" si="0"/>
        <v>60</v>
      </c>
    </row>
    <row r="33" spans="1:3" ht="14.4" x14ac:dyDescent="0.3">
      <c r="A33" s="7">
        <v>10110</v>
      </c>
      <c r="B33" s="7">
        <v>10112</v>
      </c>
      <c r="C33" s="52">
        <f t="shared" si="0"/>
        <v>115</v>
      </c>
    </row>
    <row r="34" spans="1:3" ht="14.4" x14ac:dyDescent="0.3">
      <c r="A34" s="7">
        <v>10100</v>
      </c>
      <c r="B34" s="7">
        <v>10114</v>
      </c>
      <c r="C34" s="52">
        <f t="shared" si="0"/>
        <v>480</v>
      </c>
    </row>
    <row r="35" spans="1:3" ht="15" thickBot="1" x14ac:dyDescent="0.35">
      <c r="A35" s="8">
        <v>10112</v>
      </c>
      <c r="B35" s="8">
        <v>10116</v>
      </c>
      <c r="C35" s="53">
        <f t="shared" si="0"/>
        <v>105</v>
      </c>
    </row>
  </sheetData>
  <mergeCells count="1">
    <mergeCell ref="C4: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potugarilalithapriya21@outlook.com</cp:lastModifiedBy>
  <dcterms:created xsi:type="dcterms:W3CDTF">2015-02-10T17:33:11Z</dcterms:created>
  <dcterms:modified xsi:type="dcterms:W3CDTF">2023-12-10T08:03:23Z</dcterms:modified>
</cp:coreProperties>
</file>